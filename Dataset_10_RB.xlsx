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Hasil Pengamatan" sheetId="1" r:id="rId4"/>
  </sheets>
  <definedNames/>
  <calcPr/>
</workbook>
</file>

<file path=xl/sharedStrings.xml><?xml version="1.0" encoding="utf-8"?>
<sst xmlns="http://schemas.openxmlformats.org/spreadsheetml/2006/main" count="224" uniqueCount="150">
  <si>
    <t>No</t>
  </si>
  <si>
    <t>Rabu, 5 November 2025</t>
  </si>
  <si>
    <t>Kamis, 6 November 2025</t>
  </si>
  <si>
    <t>Jumat, 7 November 2025</t>
  </si>
  <si>
    <t>1 Jam Pertama</t>
  </si>
  <si>
    <t>Waktu Pelayanan</t>
  </si>
  <si>
    <t>1 Jam Kedua</t>
  </si>
  <si>
    <t>12.05-12.06</t>
  </si>
  <si>
    <t>13.04-13.05</t>
  </si>
  <si>
    <t>12.12-12.13</t>
  </si>
  <si>
    <t>13.00-13.02</t>
  </si>
  <si>
    <t>13.00–13.01</t>
  </si>
  <si>
    <t>12.08-12.11</t>
  </si>
  <si>
    <t>13.05-13.07</t>
  </si>
  <si>
    <t>12.21-12.24</t>
  </si>
  <si>
    <t>13.02-13.03</t>
  </si>
  <si>
    <t>12.08-12.09</t>
  </si>
  <si>
    <t>13.00–13.03</t>
  </si>
  <si>
    <t>13.07-13.08</t>
  </si>
  <si>
    <t>12.24-12.26</t>
  </si>
  <si>
    <t>13.03-13.04</t>
  </si>
  <si>
    <t>12.14-12.15</t>
  </si>
  <si>
    <t>13.06–13.08</t>
  </si>
  <si>
    <t>12.10-12.12</t>
  </si>
  <si>
    <t>13.08-13.09</t>
  </si>
  <si>
    <t>12.30-12.31</t>
  </si>
  <si>
    <t>13.04-13.06</t>
  </si>
  <si>
    <t>12.15-12.16</t>
  </si>
  <si>
    <t>13.09–13.11</t>
  </si>
  <si>
    <t>12.15-12.17</t>
  </si>
  <si>
    <t>13.10-13.11</t>
  </si>
  <si>
    <t>12.35-12.36</t>
  </si>
  <si>
    <t>13.06-13.08</t>
  </si>
  <si>
    <t>12.18-12.29</t>
  </si>
  <si>
    <t>13.11–13.12</t>
  </si>
  <si>
    <t>12.17-12.18</t>
  </si>
  <si>
    <t>13.13-13.14</t>
  </si>
  <si>
    <t>12.35-12.37</t>
  </si>
  <si>
    <t>13.06-13.09</t>
  </si>
  <si>
    <t>12.21-12.23</t>
  </si>
  <si>
    <t>13.13-13.15</t>
  </si>
  <si>
    <t>12.37-12.39</t>
  </si>
  <si>
    <t>13.15-13.21</t>
  </si>
  <si>
    <t>13.12–13.13</t>
  </si>
  <si>
    <t>12.19-12.20</t>
  </si>
  <si>
    <t>13.15-13.16</t>
  </si>
  <si>
    <t>12.40-12.41</t>
  </si>
  <si>
    <t>12.29-12.30</t>
  </si>
  <si>
    <t>13.13–13.14</t>
  </si>
  <si>
    <t>12.20-12.21</t>
  </si>
  <si>
    <t>12.41-12.42</t>
  </si>
  <si>
    <t>13.18-13.20</t>
  </si>
  <si>
    <t>12.30-12.32</t>
  </si>
  <si>
    <t>13.16–13.18</t>
  </si>
  <si>
    <t>12.21-12.22</t>
  </si>
  <si>
    <t>12.46-12.47</t>
  </si>
  <si>
    <t>13.19-13.20</t>
  </si>
  <si>
    <t>12.31-12.33</t>
  </si>
  <si>
    <t>13.18–13.19</t>
  </si>
  <si>
    <t>12.23-12.24</t>
  </si>
  <si>
    <t>12.48-12.49</t>
  </si>
  <si>
    <t>13.20-13.21</t>
  </si>
  <si>
    <t>13.19–13.20</t>
  </si>
  <si>
    <t>12.24-12.25</t>
  </si>
  <si>
    <t>13.16 -13.17</t>
  </si>
  <si>
    <t>12.50-12.51</t>
  </si>
  <si>
    <t>13.28-13.28</t>
  </si>
  <si>
    <t>12.32-12.36</t>
  </si>
  <si>
    <t>13.20–13.23</t>
  </si>
  <si>
    <t>12.28-12.29</t>
  </si>
  <si>
    <t>13.16-13.18</t>
  </si>
  <si>
    <t>12.53-12.54</t>
  </si>
  <si>
    <t>13.29-13.29</t>
  </si>
  <si>
    <t>12.33-12.36</t>
  </si>
  <si>
    <t>13.27–13.29</t>
  </si>
  <si>
    <t>12.54-12.55</t>
  </si>
  <si>
    <t>13.30-13.32</t>
  </si>
  <si>
    <t>12.33-12.34</t>
  </si>
  <si>
    <t>13.31–13.32</t>
  </si>
  <si>
    <t>12.56-12.57</t>
  </si>
  <si>
    <t>13.17-13.18</t>
  </si>
  <si>
    <t>12.57-12.58</t>
  </si>
  <si>
    <t>13.33-13.34</t>
  </si>
  <si>
    <t>12.42-12.43</t>
  </si>
  <si>
    <t>13.32–13.33</t>
  </si>
  <si>
    <t>12.32-12.33</t>
  </si>
  <si>
    <t>12.58-12.59</t>
  </si>
  <si>
    <t>13.34-13.34</t>
  </si>
  <si>
    <t>13.33–13.34</t>
  </si>
  <si>
    <t>12.32-12.34</t>
  </si>
  <si>
    <t>12.59-13.00</t>
  </si>
  <si>
    <t>13.35-13.37</t>
  </si>
  <si>
    <t>13.38-13.38</t>
  </si>
  <si>
    <t>13.34–13.35</t>
  </si>
  <si>
    <t>13.35–13.39</t>
  </si>
  <si>
    <t>13.21-13.22</t>
  </si>
  <si>
    <t>13.40-13.40</t>
  </si>
  <si>
    <t>13.39–13.40</t>
  </si>
  <si>
    <t>13.42-13.42</t>
  </si>
  <si>
    <t>13.45–13.47</t>
  </si>
  <si>
    <t>12.34-12.36</t>
  </si>
  <si>
    <t>13.38-13.39</t>
  </si>
  <si>
    <t>13.48-13.49</t>
  </si>
  <si>
    <t>13.47–13.48</t>
  </si>
  <si>
    <t>13.38-13.40</t>
  </si>
  <si>
    <t>13.49-13.50</t>
  </si>
  <si>
    <t>12.51-12.52</t>
  </si>
  <si>
    <t>12.35-12.38</t>
  </si>
  <si>
    <t>13.57-13.58</t>
  </si>
  <si>
    <t>13.51-13.52</t>
  </si>
  <si>
    <t>13.47–13.49</t>
  </si>
  <si>
    <t>13.59-14.00</t>
  </si>
  <si>
    <t>13.53-13.55</t>
  </si>
  <si>
    <t>13.52–13.53</t>
  </si>
  <si>
    <t>12.36-12.37</t>
  </si>
  <si>
    <t>13.54–13.55</t>
  </si>
  <si>
    <t>13.54-13.55</t>
  </si>
  <si>
    <t>13.56–13.57</t>
  </si>
  <si>
    <t>13.54-13.56</t>
  </si>
  <si>
    <t>13.58–13.59</t>
  </si>
  <si>
    <t>12.43-12.45</t>
  </si>
  <si>
    <t>12.45-12.46</t>
  </si>
  <si>
    <t>13.56-13.57</t>
  </si>
  <si>
    <t>12.47-12.48</t>
  </si>
  <si>
    <t>12.49-12.50</t>
  </si>
  <si>
    <t>12.49-12.51</t>
  </si>
  <si>
    <t>12.52-12.53</t>
  </si>
  <si>
    <t>12.52-12.56</t>
  </si>
  <si>
    <t>12.55-12.56</t>
  </si>
  <si>
    <t>Rata-rata Waktu Pelayanan</t>
  </si>
  <si>
    <t>Total Rata-Rata Waktu Pelayanan</t>
  </si>
  <si>
    <t>Hari</t>
  </si>
  <si>
    <t>Tanggal</t>
  </si>
  <si>
    <t>Jumlah Pembeli</t>
  </si>
  <si>
    <t>Jam Pengamatan 12.00-14.00</t>
  </si>
  <si>
    <t>Lambda</t>
  </si>
  <si>
    <t>Rabu</t>
  </si>
  <si>
    <t>2 Jam</t>
  </si>
  <si>
    <t>Kamis</t>
  </si>
  <si>
    <t>Jumat</t>
  </si>
  <si>
    <t>Rata-rata jumlah kedatangan pembeli per periode waktu</t>
  </si>
  <si>
    <t>Total Pembeli</t>
  </si>
  <si>
    <t>Jumlah rata-rata pembeli yang dilayani per periode waktu (mu)</t>
  </si>
  <si>
    <t xml:space="preserve">ls </t>
  </si>
  <si>
    <t>lambda ~29 pembeli/jam &lt; mu ~39 pembeli/jam = sistem antrian stabil.</t>
  </si>
  <si>
    <t>ws</t>
  </si>
  <si>
    <t>lq</t>
  </si>
  <si>
    <t>wq</t>
  </si>
  <si>
    <t>ρ</t>
  </si>
  <si>
    <t>ρ₀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</si>
</sst>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3" fontId="1" numFmtId="0" xfId="0" applyAlignment="1" applyBorder="1" applyFill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6" fillId="0" fontId="3" numFmtId="4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readingOrder="0"/>
    </xf>
    <xf borderId="6" fillId="0" fontId="4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shrinkToFit="0" vertical="center" wrapText="1"/>
    </xf>
    <xf borderId="6" fillId="0" fontId="3" numFmtId="164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14.63"/>
    <col customWidth="1" min="4" max="4" width="13.38"/>
    <col customWidth="1" min="5" max="5" width="14.63"/>
    <col customWidth="1" min="7" max="7" width="5.5"/>
    <col customWidth="1" min="9" max="9" width="14.75"/>
    <col customWidth="1" min="10" max="10" width="13.75"/>
    <col customWidth="1" min="11" max="11" width="14.63"/>
    <col customWidth="1" min="13" max="13" width="5.13"/>
    <col customWidth="1" min="15" max="15" width="14.38"/>
    <col customWidth="1" min="17" max="17" width="14.13"/>
  </cols>
  <sheetData>
    <row r="1">
      <c r="A1" s="1" t="s">
        <v>0</v>
      </c>
      <c r="B1" s="2" t="s">
        <v>1</v>
      </c>
      <c r="G1" s="1" t="s">
        <v>0</v>
      </c>
      <c r="H1" s="3" t="s">
        <v>2</v>
      </c>
      <c r="I1" s="4"/>
      <c r="J1" s="4"/>
      <c r="K1" s="5"/>
      <c r="M1" s="1" t="s">
        <v>0</v>
      </c>
      <c r="N1" s="2" t="s">
        <v>3</v>
      </c>
    </row>
    <row r="2">
      <c r="A2" s="6"/>
      <c r="B2" s="7" t="s">
        <v>4</v>
      </c>
      <c r="C2" s="7" t="s">
        <v>5</v>
      </c>
      <c r="D2" s="7" t="s">
        <v>6</v>
      </c>
      <c r="E2" s="7" t="s">
        <v>5</v>
      </c>
      <c r="G2" s="6"/>
      <c r="H2" s="7" t="s">
        <v>4</v>
      </c>
      <c r="I2" s="7" t="s">
        <v>5</v>
      </c>
      <c r="J2" s="7" t="s">
        <v>6</v>
      </c>
      <c r="K2" s="7" t="s">
        <v>5</v>
      </c>
      <c r="M2" s="6"/>
      <c r="N2" s="7" t="s">
        <v>4</v>
      </c>
      <c r="O2" s="7" t="s">
        <v>5</v>
      </c>
      <c r="P2" s="7" t="s">
        <v>6</v>
      </c>
      <c r="Q2" s="7" t="s">
        <v>5</v>
      </c>
    </row>
    <row r="3">
      <c r="A3" s="8">
        <v>1.0</v>
      </c>
      <c r="B3" s="8" t="s">
        <v>7</v>
      </c>
      <c r="C3" s="8">
        <v>1.0</v>
      </c>
      <c r="D3" s="8" t="s">
        <v>8</v>
      </c>
      <c r="E3" s="8">
        <v>2.0</v>
      </c>
      <c r="G3" s="9">
        <v>1.0</v>
      </c>
      <c r="H3" s="8" t="s">
        <v>9</v>
      </c>
      <c r="I3" s="8">
        <v>1.0</v>
      </c>
      <c r="J3" s="8" t="s">
        <v>10</v>
      </c>
      <c r="K3" s="8">
        <v>2.0</v>
      </c>
      <c r="M3" s="8">
        <v>1.0</v>
      </c>
      <c r="N3" s="8" t="s">
        <v>7</v>
      </c>
      <c r="O3" s="8">
        <v>1.0</v>
      </c>
      <c r="P3" s="10" t="s">
        <v>11</v>
      </c>
      <c r="Q3" s="8">
        <v>1.0</v>
      </c>
    </row>
    <row r="4">
      <c r="A4" s="8">
        <v>2.0</v>
      </c>
      <c r="B4" s="8" t="s">
        <v>12</v>
      </c>
      <c r="C4" s="8">
        <v>3.0</v>
      </c>
      <c r="D4" s="8" t="s">
        <v>13</v>
      </c>
      <c r="E4" s="8">
        <v>2.0</v>
      </c>
      <c r="G4" s="9">
        <v>2.0</v>
      </c>
      <c r="H4" s="8" t="s">
        <v>14</v>
      </c>
      <c r="I4" s="8">
        <v>3.0</v>
      </c>
      <c r="J4" s="8" t="s">
        <v>15</v>
      </c>
      <c r="K4" s="8">
        <v>1.0</v>
      </c>
      <c r="M4" s="8">
        <v>2.0</v>
      </c>
      <c r="N4" s="8" t="s">
        <v>16</v>
      </c>
      <c r="O4" s="8">
        <v>1.0</v>
      </c>
      <c r="P4" s="10" t="s">
        <v>17</v>
      </c>
      <c r="Q4" s="8">
        <v>3.0</v>
      </c>
    </row>
    <row r="5">
      <c r="A5" s="8">
        <v>3.0</v>
      </c>
      <c r="B5" s="8" t="s">
        <v>12</v>
      </c>
      <c r="C5" s="8">
        <v>3.0</v>
      </c>
      <c r="D5" s="8" t="s">
        <v>18</v>
      </c>
      <c r="E5" s="8">
        <v>1.0</v>
      </c>
      <c r="G5" s="9">
        <v>3.0</v>
      </c>
      <c r="H5" s="8" t="s">
        <v>19</v>
      </c>
      <c r="I5" s="8">
        <v>2.0</v>
      </c>
      <c r="J5" s="8" t="s">
        <v>20</v>
      </c>
      <c r="K5" s="8">
        <v>1.0</v>
      </c>
      <c r="M5" s="8">
        <v>3.0</v>
      </c>
      <c r="N5" s="8" t="s">
        <v>21</v>
      </c>
      <c r="O5" s="8">
        <v>1.0</v>
      </c>
      <c r="P5" s="10" t="s">
        <v>22</v>
      </c>
      <c r="Q5" s="8">
        <v>2.0</v>
      </c>
    </row>
    <row r="6">
      <c r="A6" s="8">
        <v>4.0</v>
      </c>
      <c r="B6" s="8" t="s">
        <v>23</v>
      </c>
      <c r="C6" s="8">
        <v>2.0</v>
      </c>
      <c r="D6" s="11" t="s">
        <v>24</v>
      </c>
      <c r="E6" s="8">
        <v>1.0</v>
      </c>
      <c r="G6" s="9">
        <v>4.0</v>
      </c>
      <c r="H6" s="8" t="s">
        <v>25</v>
      </c>
      <c r="I6" s="8">
        <v>1.0</v>
      </c>
      <c r="J6" s="8" t="s">
        <v>26</v>
      </c>
      <c r="K6" s="8">
        <v>2.0</v>
      </c>
      <c r="M6" s="8">
        <v>4.0</v>
      </c>
      <c r="N6" s="8" t="s">
        <v>27</v>
      </c>
      <c r="O6" s="8">
        <v>1.0</v>
      </c>
      <c r="P6" s="10" t="s">
        <v>28</v>
      </c>
      <c r="Q6" s="8">
        <v>2.0</v>
      </c>
    </row>
    <row r="7">
      <c r="A7" s="8">
        <v>5.0</v>
      </c>
      <c r="B7" s="8" t="s">
        <v>29</v>
      </c>
      <c r="C7" s="8">
        <v>2.0</v>
      </c>
      <c r="D7" s="8" t="s">
        <v>30</v>
      </c>
      <c r="E7" s="8">
        <v>1.0</v>
      </c>
      <c r="G7" s="9">
        <v>5.0</v>
      </c>
      <c r="H7" s="8" t="s">
        <v>31</v>
      </c>
      <c r="I7" s="8">
        <v>1.0</v>
      </c>
      <c r="J7" s="8" t="s">
        <v>32</v>
      </c>
      <c r="K7" s="8">
        <v>2.0</v>
      </c>
      <c r="M7" s="8">
        <v>5.0</v>
      </c>
      <c r="N7" s="8" t="s">
        <v>33</v>
      </c>
      <c r="O7" s="8">
        <v>1.0</v>
      </c>
      <c r="P7" s="10" t="s">
        <v>34</v>
      </c>
      <c r="Q7" s="8">
        <v>1.0</v>
      </c>
    </row>
    <row r="8">
      <c r="A8" s="8">
        <v>6.0</v>
      </c>
      <c r="B8" s="8" t="s">
        <v>35</v>
      </c>
      <c r="C8" s="8">
        <v>1.0</v>
      </c>
      <c r="D8" s="11" t="s">
        <v>36</v>
      </c>
      <c r="E8" s="8">
        <v>1.0</v>
      </c>
      <c r="G8" s="9">
        <v>6.0</v>
      </c>
      <c r="H8" s="8" t="s">
        <v>37</v>
      </c>
      <c r="I8" s="8">
        <v>2.0</v>
      </c>
      <c r="J8" s="8" t="s">
        <v>38</v>
      </c>
      <c r="K8" s="8">
        <v>3.0</v>
      </c>
      <c r="M8" s="8">
        <v>6.0</v>
      </c>
      <c r="N8" s="8" t="s">
        <v>39</v>
      </c>
      <c r="O8" s="8">
        <v>2.0</v>
      </c>
      <c r="P8" s="10" t="s">
        <v>34</v>
      </c>
      <c r="Q8" s="8">
        <v>1.0</v>
      </c>
    </row>
    <row r="9">
      <c r="A9" s="8">
        <v>7.0</v>
      </c>
      <c r="B9" s="8" t="s">
        <v>35</v>
      </c>
      <c r="C9" s="8">
        <v>1.0</v>
      </c>
      <c r="D9" s="8" t="s">
        <v>40</v>
      </c>
      <c r="E9" s="8">
        <v>2.0</v>
      </c>
      <c r="G9" s="9">
        <v>7.0</v>
      </c>
      <c r="H9" s="8" t="s">
        <v>41</v>
      </c>
      <c r="I9" s="8">
        <v>2.0</v>
      </c>
      <c r="J9" s="8" t="s">
        <v>42</v>
      </c>
      <c r="K9" s="8">
        <v>16.0</v>
      </c>
      <c r="M9" s="8">
        <v>7.0</v>
      </c>
      <c r="N9" s="8" t="s">
        <v>39</v>
      </c>
      <c r="O9" s="8">
        <v>2.0</v>
      </c>
      <c r="P9" s="10" t="s">
        <v>43</v>
      </c>
      <c r="Q9" s="8">
        <v>1.0</v>
      </c>
    </row>
    <row r="10">
      <c r="A10" s="8">
        <v>8.0</v>
      </c>
      <c r="B10" s="8" t="s">
        <v>44</v>
      </c>
      <c r="C10" s="8">
        <v>1.0</v>
      </c>
      <c r="D10" s="8" t="s">
        <v>45</v>
      </c>
      <c r="E10" s="8">
        <v>1.0</v>
      </c>
      <c r="G10" s="9">
        <v>8.0</v>
      </c>
      <c r="H10" s="8" t="s">
        <v>46</v>
      </c>
      <c r="I10" s="8">
        <v>1.0</v>
      </c>
      <c r="J10" s="8" t="s">
        <v>42</v>
      </c>
      <c r="K10" s="8">
        <v>16.0</v>
      </c>
      <c r="M10" s="8">
        <v>8.0</v>
      </c>
      <c r="N10" s="8" t="s">
        <v>47</v>
      </c>
      <c r="O10" s="8">
        <v>1.0</v>
      </c>
      <c r="P10" s="10" t="s">
        <v>48</v>
      </c>
      <c r="Q10" s="8">
        <v>1.0</v>
      </c>
    </row>
    <row r="11">
      <c r="A11" s="8">
        <v>9.0</v>
      </c>
      <c r="B11" s="8" t="s">
        <v>49</v>
      </c>
      <c r="C11" s="8">
        <v>1.0</v>
      </c>
      <c r="D11" s="8" t="s">
        <v>45</v>
      </c>
      <c r="E11" s="8">
        <v>1.0</v>
      </c>
      <c r="G11" s="9">
        <v>9.0</v>
      </c>
      <c r="H11" s="8" t="s">
        <v>50</v>
      </c>
      <c r="I11" s="8">
        <v>1.0</v>
      </c>
      <c r="J11" s="8" t="s">
        <v>51</v>
      </c>
      <c r="K11" s="8">
        <v>2.0</v>
      </c>
      <c r="M11" s="8">
        <v>9.0</v>
      </c>
      <c r="N11" s="8" t="s">
        <v>52</v>
      </c>
      <c r="O11" s="8">
        <v>2.0</v>
      </c>
      <c r="P11" s="10" t="s">
        <v>53</v>
      </c>
      <c r="Q11" s="8">
        <v>2.0</v>
      </c>
    </row>
    <row r="12">
      <c r="A12" s="8">
        <v>10.0</v>
      </c>
      <c r="B12" s="8" t="s">
        <v>54</v>
      </c>
      <c r="C12" s="8">
        <v>1.0</v>
      </c>
      <c r="D12" s="8" t="s">
        <v>45</v>
      </c>
      <c r="E12" s="8">
        <v>1.0</v>
      </c>
      <c r="G12" s="9">
        <v>10.0</v>
      </c>
      <c r="H12" s="8" t="s">
        <v>55</v>
      </c>
      <c r="I12" s="8">
        <v>1.0</v>
      </c>
      <c r="J12" s="8" t="s">
        <v>56</v>
      </c>
      <c r="K12" s="8">
        <v>1.0</v>
      </c>
      <c r="M12" s="8">
        <v>10.0</v>
      </c>
      <c r="N12" s="8" t="s">
        <v>57</v>
      </c>
      <c r="O12" s="8">
        <v>2.0</v>
      </c>
      <c r="P12" s="10" t="s">
        <v>58</v>
      </c>
      <c r="Q12" s="8">
        <v>1.0</v>
      </c>
    </row>
    <row r="13">
      <c r="A13" s="8">
        <v>11.0</v>
      </c>
      <c r="B13" s="8" t="s">
        <v>59</v>
      </c>
      <c r="C13" s="8">
        <v>1.0</v>
      </c>
      <c r="D13" s="8" t="s">
        <v>45</v>
      </c>
      <c r="E13" s="8">
        <v>1.0</v>
      </c>
      <c r="G13" s="9">
        <v>11.0</v>
      </c>
      <c r="H13" s="8" t="s">
        <v>60</v>
      </c>
      <c r="I13" s="8">
        <v>1.0</v>
      </c>
      <c r="J13" s="8" t="s">
        <v>61</v>
      </c>
      <c r="K13" s="8">
        <v>1.0</v>
      </c>
      <c r="M13" s="8">
        <v>11.0</v>
      </c>
      <c r="N13" s="8" t="s">
        <v>57</v>
      </c>
      <c r="O13" s="8">
        <v>2.0</v>
      </c>
      <c r="P13" s="10" t="s">
        <v>62</v>
      </c>
      <c r="Q13" s="8">
        <v>1.0</v>
      </c>
    </row>
    <row r="14">
      <c r="A14" s="8">
        <v>12.0</v>
      </c>
      <c r="B14" s="8" t="s">
        <v>63</v>
      </c>
      <c r="C14" s="8">
        <v>1.0</v>
      </c>
      <c r="D14" s="11" t="s">
        <v>64</v>
      </c>
      <c r="E14" s="8">
        <v>1.0</v>
      </c>
      <c r="G14" s="9">
        <v>12.0</v>
      </c>
      <c r="H14" s="8" t="s">
        <v>65</v>
      </c>
      <c r="I14" s="8">
        <v>1.0</v>
      </c>
      <c r="J14" s="8" t="s">
        <v>66</v>
      </c>
      <c r="K14" s="8">
        <v>1.0</v>
      </c>
      <c r="M14" s="8">
        <v>12.0</v>
      </c>
      <c r="N14" s="8" t="s">
        <v>67</v>
      </c>
      <c r="O14" s="8">
        <v>4.0</v>
      </c>
      <c r="P14" s="10" t="s">
        <v>68</v>
      </c>
      <c r="Q14" s="8">
        <v>3.0</v>
      </c>
    </row>
    <row r="15">
      <c r="A15" s="8">
        <v>13.0</v>
      </c>
      <c r="B15" s="8" t="s">
        <v>69</v>
      </c>
      <c r="C15" s="8">
        <v>1.0</v>
      </c>
      <c r="D15" s="8" t="s">
        <v>70</v>
      </c>
      <c r="E15" s="8">
        <v>2.0</v>
      </c>
      <c r="G15" s="9">
        <v>13.0</v>
      </c>
      <c r="H15" s="8" t="s">
        <v>71</v>
      </c>
      <c r="I15" s="8">
        <v>1.0</v>
      </c>
      <c r="J15" s="8" t="s">
        <v>72</v>
      </c>
      <c r="K15" s="8">
        <v>1.0</v>
      </c>
      <c r="M15" s="8">
        <v>13.0</v>
      </c>
      <c r="N15" s="8" t="s">
        <v>73</v>
      </c>
      <c r="O15" s="8">
        <v>3.0</v>
      </c>
      <c r="P15" s="10" t="s">
        <v>74</v>
      </c>
      <c r="Q15" s="8">
        <v>2.0</v>
      </c>
    </row>
    <row r="16">
      <c r="A16" s="8">
        <v>14.0</v>
      </c>
      <c r="B16" s="8" t="s">
        <v>69</v>
      </c>
      <c r="C16" s="8">
        <v>1.0</v>
      </c>
      <c r="D16" s="8" t="s">
        <v>70</v>
      </c>
      <c r="E16" s="8">
        <v>2.0</v>
      </c>
      <c r="G16" s="9">
        <v>14.0</v>
      </c>
      <c r="H16" s="8" t="s">
        <v>75</v>
      </c>
      <c r="I16" s="8">
        <v>1.0</v>
      </c>
      <c r="J16" s="8" t="s">
        <v>76</v>
      </c>
      <c r="K16" s="8">
        <v>2.0</v>
      </c>
      <c r="M16" s="8">
        <v>14.0</v>
      </c>
      <c r="N16" s="8" t="s">
        <v>77</v>
      </c>
      <c r="O16" s="8">
        <v>1.0</v>
      </c>
      <c r="P16" s="10" t="s">
        <v>78</v>
      </c>
      <c r="Q16" s="8">
        <v>1.0</v>
      </c>
    </row>
    <row r="17">
      <c r="A17" s="8">
        <v>15.0</v>
      </c>
      <c r="B17" s="8" t="s">
        <v>47</v>
      </c>
      <c r="C17" s="8">
        <v>1.0</v>
      </c>
      <c r="D17" s="8" t="s">
        <v>70</v>
      </c>
      <c r="E17" s="8">
        <v>2.0</v>
      </c>
      <c r="G17" s="9">
        <v>15.0</v>
      </c>
      <c r="H17" s="8" t="s">
        <v>79</v>
      </c>
      <c r="I17" s="8">
        <v>1.0</v>
      </c>
      <c r="J17" s="8" t="s">
        <v>76</v>
      </c>
      <c r="K17" s="8">
        <v>2.0</v>
      </c>
      <c r="M17" s="8">
        <v>15.0</v>
      </c>
      <c r="N17" s="8" t="s">
        <v>77</v>
      </c>
      <c r="O17" s="8">
        <v>1.0</v>
      </c>
      <c r="P17" s="10" t="s">
        <v>78</v>
      </c>
      <c r="Q17" s="8">
        <v>1.0</v>
      </c>
    </row>
    <row r="18">
      <c r="A18" s="8">
        <v>16.0</v>
      </c>
      <c r="B18" s="8" t="s">
        <v>57</v>
      </c>
      <c r="C18" s="8">
        <v>2.0</v>
      </c>
      <c r="D18" s="8" t="s">
        <v>80</v>
      </c>
      <c r="E18" s="8">
        <v>1.0</v>
      </c>
      <c r="G18" s="9">
        <v>16.0</v>
      </c>
      <c r="H18" s="8" t="s">
        <v>81</v>
      </c>
      <c r="I18" s="8">
        <v>1.0</v>
      </c>
      <c r="J18" s="8" t="s">
        <v>82</v>
      </c>
      <c r="K18" s="8">
        <v>1.0</v>
      </c>
      <c r="M18" s="8">
        <v>16.0</v>
      </c>
      <c r="N18" s="8" t="s">
        <v>83</v>
      </c>
      <c r="O18" s="8">
        <v>1.0</v>
      </c>
      <c r="P18" s="10" t="s">
        <v>84</v>
      </c>
      <c r="Q18" s="8">
        <v>1.0</v>
      </c>
    </row>
    <row r="19">
      <c r="A19" s="8">
        <v>17.0</v>
      </c>
      <c r="B19" s="8" t="s">
        <v>85</v>
      </c>
      <c r="C19" s="8">
        <v>1.0</v>
      </c>
      <c r="D19" s="8" t="s">
        <v>56</v>
      </c>
      <c r="E19" s="8">
        <v>1.0</v>
      </c>
      <c r="G19" s="9">
        <v>17.0</v>
      </c>
      <c r="H19" s="8" t="s">
        <v>86</v>
      </c>
      <c r="I19" s="8">
        <v>1.0</v>
      </c>
      <c r="J19" s="8" t="s">
        <v>87</v>
      </c>
      <c r="K19" s="8">
        <v>1.0</v>
      </c>
      <c r="M19" s="8">
        <v>17.0</v>
      </c>
      <c r="N19" s="8" t="s">
        <v>83</v>
      </c>
      <c r="O19" s="8">
        <v>1.0</v>
      </c>
      <c r="P19" s="10" t="s">
        <v>88</v>
      </c>
      <c r="Q19" s="8">
        <v>1.0</v>
      </c>
    </row>
    <row r="20">
      <c r="A20" s="8">
        <v>18.0</v>
      </c>
      <c r="B20" s="8" t="s">
        <v>89</v>
      </c>
      <c r="C20" s="8">
        <v>2.0</v>
      </c>
      <c r="D20" s="8" t="s">
        <v>61</v>
      </c>
      <c r="E20" s="8">
        <v>1.0</v>
      </c>
      <c r="G20" s="9">
        <v>18.0</v>
      </c>
      <c r="H20" s="8" t="s">
        <v>90</v>
      </c>
      <c r="I20" s="8">
        <v>1.0</v>
      </c>
      <c r="J20" s="8" t="s">
        <v>91</v>
      </c>
      <c r="K20" s="8">
        <v>2.0</v>
      </c>
      <c r="M20" s="8">
        <v>18.0</v>
      </c>
      <c r="N20" s="8" t="s">
        <v>83</v>
      </c>
      <c r="O20" s="8">
        <v>1.0</v>
      </c>
      <c r="P20" s="10" t="s">
        <v>88</v>
      </c>
      <c r="Q20" s="8">
        <v>1.0</v>
      </c>
    </row>
    <row r="21">
      <c r="A21" s="8">
        <v>19.0</v>
      </c>
      <c r="B21" s="8" t="s">
        <v>89</v>
      </c>
      <c r="C21" s="8">
        <v>2.0</v>
      </c>
      <c r="D21" s="8" t="s">
        <v>61</v>
      </c>
      <c r="E21" s="8">
        <v>1.0</v>
      </c>
      <c r="G21" s="9">
        <v>19.0</v>
      </c>
      <c r="H21" s="8"/>
      <c r="I21" s="8"/>
      <c r="J21" s="8" t="s">
        <v>92</v>
      </c>
      <c r="K21" s="8">
        <v>1.0</v>
      </c>
      <c r="M21" s="8">
        <v>19.0</v>
      </c>
      <c r="N21" s="8" t="s">
        <v>83</v>
      </c>
      <c r="O21" s="8">
        <v>1.0</v>
      </c>
      <c r="P21" s="10" t="s">
        <v>93</v>
      </c>
      <c r="Q21" s="8">
        <v>1.0</v>
      </c>
    </row>
    <row r="22">
      <c r="A22" s="8">
        <v>20.0</v>
      </c>
      <c r="B22" s="8" t="s">
        <v>77</v>
      </c>
      <c r="C22" s="8">
        <v>1.0</v>
      </c>
      <c r="D22" s="8" t="s">
        <v>61</v>
      </c>
      <c r="E22" s="8">
        <v>1.0</v>
      </c>
      <c r="G22" s="9">
        <v>20.0</v>
      </c>
      <c r="H22" s="12"/>
      <c r="I22" s="8"/>
      <c r="J22" s="8" t="s">
        <v>92</v>
      </c>
      <c r="K22" s="8">
        <v>1.0</v>
      </c>
      <c r="M22" s="8">
        <v>20.0</v>
      </c>
      <c r="N22" s="8" t="s">
        <v>83</v>
      </c>
      <c r="O22" s="8">
        <v>1.0</v>
      </c>
      <c r="P22" s="10" t="s">
        <v>94</v>
      </c>
      <c r="Q22" s="8">
        <v>4.0</v>
      </c>
    </row>
    <row r="23">
      <c r="A23" s="8">
        <v>21.0</v>
      </c>
      <c r="B23" s="8" t="s">
        <v>77</v>
      </c>
      <c r="C23" s="8">
        <v>1.0</v>
      </c>
      <c r="D23" s="8" t="s">
        <v>95</v>
      </c>
      <c r="E23" s="8">
        <v>1.0</v>
      </c>
      <c r="G23" s="9">
        <v>21.0</v>
      </c>
      <c r="H23" s="12"/>
      <c r="I23" s="8"/>
      <c r="J23" s="8" t="s">
        <v>96</v>
      </c>
      <c r="K23" s="8">
        <v>1.0</v>
      </c>
      <c r="M23" s="8">
        <v>21.0</v>
      </c>
      <c r="N23" s="8" t="s">
        <v>55</v>
      </c>
      <c r="O23" s="8">
        <v>1.0</v>
      </c>
      <c r="P23" s="8" t="s">
        <v>97</v>
      </c>
      <c r="Q23" s="8">
        <v>1.0</v>
      </c>
    </row>
    <row r="24">
      <c r="A24" s="8">
        <v>22.0</v>
      </c>
      <c r="B24" s="8" t="s">
        <v>77</v>
      </c>
      <c r="C24" s="8">
        <v>1.0</v>
      </c>
      <c r="D24" s="8" t="s">
        <v>95</v>
      </c>
      <c r="E24" s="8">
        <v>1.0</v>
      </c>
      <c r="G24" s="9">
        <v>22.0</v>
      </c>
      <c r="H24" s="12"/>
      <c r="I24" s="8"/>
      <c r="J24" s="8" t="s">
        <v>98</v>
      </c>
      <c r="K24" s="8">
        <v>1.0</v>
      </c>
      <c r="M24" s="8">
        <v>22.0</v>
      </c>
      <c r="N24" s="8" t="s">
        <v>55</v>
      </c>
      <c r="O24" s="8">
        <v>1.0</v>
      </c>
      <c r="P24" s="8" t="s">
        <v>99</v>
      </c>
      <c r="Q24" s="8">
        <v>2.0</v>
      </c>
    </row>
    <row r="25">
      <c r="A25" s="8">
        <v>23.0</v>
      </c>
      <c r="B25" s="8" t="s">
        <v>100</v>
      </c>
      <c r="C25" s="8">
        <v>2.0</v>
      </c>
      <c r="D25" s="8" t="s">
        <v>101</v>
      </c>
      <c r="E25" s="8">
        <v>1.0</v>
      </c>
      <c r="G25" s="9">
        <v>23.0</v>
      </c>
      <c r="H25" s="12"/>
      <c r="I25" s="8"/>
      <c r="J25" s="8" t="s">
        <v>102</v>
      </c>
      <c r="K25" s="8">
        <v>1.0</v>
      </c>
      <c r="M25" s="8">
        <v>23.0</v>
      </c>
      <c r="N25" s="8" t="s">
        <v>60</v>
      </c>
      <c r="O25" s="8">
        <v>1.0</v>
      </c>
      <c r="P25" s="8" t="s">
        <v>103</v>
      </c>
      <c r="Q25" s="8">
        <v>1.0</v>
      </c>
    </row>
    <row r="26">
      <c r="A26" s="8">
        <v>24.0</v>
      </c>
      <c r="B26" s="8" t="s">
        <v>37</v>
      </c>
      <c r="C26" s="8">
        <v>2.0</v>
      </c>
      <c r="D26" s="8" t="s">
        <v>104</v>
      </c>
      <c r="E26" s="8">
        <v>2.0</v>
      </c>
      <c r="G26" s="9">
        <v>24.0</v>
      </c>
      <c r="H26" s="12"/>
      <c r="I26" s="8"/>
      <c r="J26" s="8" t="s">
        <v>105</v>
      </c>
      <c r="K26" s="8">
        <v>1.0</v>
      </c>
      <c r="M26" s="8">
        <v>24.0</v>
      </c>
      <c r="N26" s="8" t="s">
        <v>106</v>
      </c>
      <c r="O26" s="8">
        <v>1.0</v>
      </c>
      <c r="P26" s="8" t="s">
        <v>103</v>
      </c>
      <c r="Q26" s="8">
        <v>1.0</v>
      </c>
    </row>
    <row r="27">
      <c r="A27" s="8">
        <v>25.0</v>
      </c>
      <c r="B27" s="8" t="s">
        <v>107</v>
      </c>
      <c r="C27" s="8">
        <v>3.0</v>
      </c>
      <c r="D27" s="8" t="s">
        <v>108</v>
      </c>
      <c r="E27" s="8">
        <v>1.0</v>
      </c>
      <c r="G27" s="9">
        <v>25.0</v>
      </c>
      <c r="H27" s="12"/>
      <c r="I27" s="8"/>
      <c r="J27" s="8" t="s">
        <v>109</v>
      </c>
      <c r="K27" s="8">
        <v>1.0</v>
      </c>
      <c r="M27" s="8">
        <v>25.0</v>
      </c>
      <c r="N27" s="8"/>
      <c r="O27" s="13"/>
      <c r="P27" s="8" t="s">
        <v>110</v>
      </c>
      <c r="Q27" s="8">
        <v>2.0</v>
      </c>
    </row>
    <row r="28">
      <c r="A28" s="8">
        <v>26.0</v>
      </c>
      <c r="B28" s="8" t="s">
        <v>31</v>
      </c>
      <c r="C28" s="8">
        <v>1.0</v>
      </c>
      <c r="D28" s="8" t="s">
        <v>111</v>
      </c>
      <c r="E28" s="8">
        <v>1.0</v>
      </c>
      <c r="G28" s="9">
        <v>26.0</v>
      </c>
      <c r="H28" s="12"/>
      <c r="I28" s="8"/>
      <c r="J28" s="8" t="s">
        <v>112</v>
      </c>
      <c r="K28" s="8">
        <v>2.0</v>
      </c>
      <c r="M28" s="8">
        <v>26.0</v>
      </c>
      <c r="N28" s="8"/>
      <c r="O28" s="13"/>
      <c r="P28" s="8" t="s">
        <v>113</v>
      </c>
      <c r="Q28" s="8">
        <v>1.0</v>
      </c>
    </row>
    <row r="29">
      <c r="A29" s="8">
        <v>27.0</v>
      </c>
      <c r="B29" s="8" t="s">
        <v>114</v>
      </c>
      <c r="C29" s="8">
        <v>1.0</v>
      </c>
      <c r="D29" s="13"/>
      <c r="E29" s="13"/>
      <c r="G29" s="9">
        <v>27.0</v>
      </c>
      <c r="H29" s="12"/>
      <c r="I29" s="8"/>
      <c r="J29" s="8" t="s">
        <v>112</v>
      </c>
      <c r="K29" s="8">
        <v>2.0</v>
      </c>
      <c r="M29" s="8">
        <v>27.0</v>
      </c>
      <c r="N29" s="8"/>
      <c r="O29" s="13"/>
      <c r="P29" s="8" t="s">
        <v>115</v>
      </c>
      <c r="Q29" s="8">
        <v>1.0</v>
      </c>
    </row>
    <row r="30">
      <c r="A30" s="8">
        <v>28.0</v>
      </c>
      <c r="B30" s="8" t="s">
        <v>46</v>
      </c>
      <c r="C30" s="8">
        <v>1.0</v>
      </c>
      <c r="D30" s="13"/>
      <c r="E30" s="13"/>
      <c r="G30" s="9">
        <v>28.0</v>
      </c>
      <c r="H30" s="12"/>
      <c r="I30" s="8"/>
      <c r="J30" s="8" t="s">
        <v>116</v>
      </c>
      <c r="K30" s="8">
        <v>1.0</v>
      </c>
      <c r="M30" s="8">
        <v>28.0</v>
      </c>
      <c r="N30" s="8"/>
      <c r="O30" s="13"/>
      <c r="P30" s="8" t="s">
        <v>117</v>
      </c>
      <c r="Q30" s="8">
        <v>1.0</v>
      </c>
    </row>
    <row r="31">
      <c r="A31" s="8">
        <v>29.0</v>
      </c>
      <c r="B31" s="8" t="s">
        <v>46</v>
      </c>
      <c r="C31" s="8">
        <v>1.0</v>
      </c>
      <c r="D31" s="13"/>
      <c r="E31" s="13"/>
      <c r="G31" s="9">
        <v>29.0</v>
      </c>
      <c r="H31" s="12"/>
      <c r="I31" s="8"/>
      <c r="J31" s="8" t="s">
        <v>118</v>
      </c>
      <c r="K31" s="8">
        <v>2.0</v>
      </c>
      <c r="M31" s="8">
        <v>29.0</v>
      </c>
      <c r="N31" s="8"/>
      <c r="O31" s="13"/>
      <c r="P31" s="8" t="s">
        <v>119</v>
      </c>
      <c r="Q31" s="8">
        <v>1.0</v>
      </c>
    </row>
    <row r="32">
      <c r="A32" s="8">
        <v>30.0</v>
      </c>
      <c r="B32" s="8" t="s">
        <v>120</v>
      </c>
      <c r="C32" s="8">
        <v>2.0</v>
      </c>
      <c r="D32" s="13"/>
      <c r="E32" s="13"/>
      <c r="G32" s="9">
        <v>30.0</v>
      </c>
      <c r="H32" s="12"/>
      <c r="I32" s="8"/>
      <c r="J32" s="8" t="s">
        <v>118</v>
      </c>
      <c r="K32" s="8">
        <v>2.0</v>
      </c>
      <c r="M32" s="8"/>
      <c r="N32" s="8"/>
      <c r="O32" s="13"/>
      <c r="P32" s="13"/>
      <c r="Q32" s="13"/>
    </row>
    <row r="33">
      <c r="A33" s="8">
        <v>31.0</v>
      </c>
      <c r="B33" s="8" t="s">
        <v>121</v>
      </c>
      <c r="C33" s="8">
        <v>1.0</v>
      </c>
      <c r="D33" s="13"/>
      <c r="E33" s="13"/>
      <c r="G33" s="9">
        <v>31.0</v>
      </c>
      <c r="H33" s="12"/>
      <c r="I33" s="8"/>
      <c r="J33" s="8" t="s">
        <v>122</v>
      </c>
      <c r="K33" s="8">
        <v>1.0</v>
      </c>
      <c r="M33" s="8"/>
      <c r="N33" s="8"/>
      <c r="O33" s="13"/>
      <c r="P33" s="13"/>
      <c r="Q33" s="13"/>
    </row>
    <row r="34">
      <c r="A34" s="8">
        <v>32.0</v>
      </c>
      <c r="B34" s="8" t="s">
        <v>123</v>
      </c>
      <c r="C34" s="8">
        <v>1.0</v>
      </c>
      <c r="D34" s="13"/>
      <c r="E34" s="13"/>
      <c r="G34" s="9">
        <v>32.0</v>
      </c>
      <c r="H34" s="12"/>
      <c r="I34" s="8"/>
      <c r="J34" s="8" t="s">
        <v>111</v>
      </c>
      <c r="K34" s="8">
        <v>1.0</v>
      </c>
      <c r="M34" s="8"/>
      <c r="N34" s="8"/>
      <c r="O34" s="13"/>
      <c r="P34" s="13"/>
      <c r="Q34" s="13"/>
    </row>
    <row r="35">
      <c r="A35" s="8">
        <v>33.0</v>
      </c>
      <c r="B35" s="8" t="s">
        <v>60</v>
      </c>
      <c r="C35" s="8">
        <v>1.0</v>
      </c>
      <c r="D35" s="13"/>
      <c r="E35" s="13"/>
      <c r="G35" s="9">
        <v>33.0</v>
      </c>
      <c r="H35" s="12"/>
      <c r="I35" s="8"/>
      <c r="J35" s="8" t="s">
        <v>111</v>
      </c>
      <c r="K35" s="8">
        <v>1.0</v>
      </c>
      <c r="M35" s="8"/>
      <c r="N35" s="8"/>
      <c r="O35" s="13"/>
      <c r="P35" s="8"/>
      <c r="Q35" s="13"/>
    </row>
    <row r="36">
      <c r="A36" s="8">
        <v>34.0</v>
      </c>
      <c r="B36" s="8" t="s">
        <v>124</v>
      </c>
      <c r="C36" s="8">
        <v>1.0</v>
      </c>
      <c r="D36" s="13"/>
      <c r="E36" s="13"/>
      <c r="G36" s="9"/>
      <c r="H36" s="8"/>
      <c r="I36" s="8"/>
      <c r="J36" s="13"/>
      <c r="K36" s="13"/>
      <c r="M36" s="8"/>
      <c r="N36" s="8"/>
      <c r="O36" s="13"/>
      <c r="P36" s="8"/>
      <c r="Q36" s="13"/>
    </row>
    <row r="37">
      <c r="A37" s="8">
        <v>35.0</v>
      </c>
      <c r="B37" s="8" t="s">
        <v>125</v>
      </c>
      <c r="C37" s="8">
        <v>2.0</v>
      </c>
      <c r="D37" s="13"/>
      <c r="E37" s="13"/>
      <c r="G37" s="9"/>
      <c r="H37" s="8"/>
      <c r="I37" s="8"/>
      <c r="J37" s="13"/>
      <c r="K37" s="13"/>
      <c r="M37" s="8"/>
      <c r="N37" s="8"/>
      <c r="O37" s="13"/>
      <c r="P37" s="8"/>
      <c r="Q37" s="13"/>
    </row>
    <row r="38">
      <c r="A38" s="8">
        <v>36.0</v>
      </c>
      <c r="B38" s="8" t="s">
        <v>125</v>
      </c>
      <c r="C38" s="8">
        <v>2.0</v>
      </c>
      <c r="D38" s="13"/>
      <c r="E38" s="13"/>
      <c r="G38" s="9"/>
      <c r="H38" s="8"/>
      <c r="I38" s="8"/>
      <c r="J38" s="13"/>
      <c r="K38" s="13"/>
      <c r="M38" s="8"/>
      <c r="N38" s="8"/>
      <c r="O38" s="13"/>
      <c r="P38" s="13"/>
      <c r="Q38" s="13"/>
    </row>
    <row r="39">
      <c r="A39" s="8">
        <v>37.0</v>
      </c>
      <c r="B39" s="8" t="s">
        <v>125</v>
      </c>
      <c r="C39" s="8">
        <v>2.0</v>
      </c>
      <c r="D39" s="13"/>
      <c r="E39" s="13"/>
      <c r="G39" s="9"/>
      <c r="H39" s="8"/>
      <c r="I39" s="8"/>
      <c r="J39" s="13"/>
      <c r="K39" s="13"/>
      <c r="M39" s="8"/>
      <c r="N39" s="8"/>
      <c r="O39" s="13"/>
      <c r="P39" s="13"/>
      <c r="Q39" s="13"/>
    </row>
    <row r="40">
      <c r="A40" s="8">
        <v>38.0</v>
      </c>
      <c r="B40" s="8" t="s">
        <v>65</v>
      </c>
      <c r="C40" s="8">
        <v>1.0</v>
      </c>
      <c r="D40" s="13"/>
      <c r="E40" s="13"/>
      <c r="G40" s="9"/>
      <c r="H40" s="8"/>
      <c r="I40" s="8"/>
      <c r="J40" s="13"/>
      <c r="K40" s="13"/>
      <c r="M40" s="8"/>
      <c r="N40" s="8"/>
      <c r="O40" s="13"/>
      <c r="P40" s="13"/>
      <c r="Q40" s="13"/>
    </row>
    <row r="41">
      <c r="A41" s="8">
        <v>39.0</v>
      </c>
      <c r="B41" s="8" t="s">
        <v>126</v>
      </c>
      <c r="C41" s="8">
        <v>1.0</v>
      </c>
      <c r="D41" s="13"/>
      <c r="E41" s="13"/>
      <c r="G41" s="9"/>
      <c r="H41" s="8"/>
      <c r="I41" s="8"/>
      <c r="J41" s="13"/>
      <c r="K41" s="13"/>
      <c r="M41" s="8"/>
      <c r="N41" s="8"/>
      <c r="O41" s="13"/>
      <c r="P41" s="13"/>
      <c r="Q41" s="13"/>
    </row>
    <row r="42">
      <c r="A42" s="8">
        <v>40.0</v>
      </c>
      <c r="B42" s="8" t="s">
        <v>127</v>
      </c>
      <c r="C42" s="8">
        <v>4.0</v>
      </c>
      <c r="D42" s="13"/>
      <c r="E42" s="13"/>
      <c r="G42" s="9"/>
      <c r="H42" s="8"/>
      <c r="I42" s="8"/>
      <c r="J42" s="13"/>
      <c r="K42" s="13"/>
      <c r="M42" s="8"/>
      <c r="N42" s="8"/>
      <c r="O42" s="13"/>
      <c r="P42" s="13"/>
      <c r="Q42" s="13"/>
    </row>
    <row r="43">
      <c r="A43" s="8">
        <v>41.0</v>
      </c>
      <c r="B43" s="8" t="s">
        <v>71</v>
      </c>
      <c r="C43" s="8">
        <v>1.0</v>
      </c>
      <c r="D43" s="13"/>
      <c r="E43" s="13"/>
      <c r="G43" s="9"/>
      <c r="H43" s="8"/>
      <c r="I43" s="8"/>
      <c r="J43" s="13"/>
      <c r="K43" s="13"/>
      <c r="M43" s="8"/>
      <c r="N43" s="8"/>
      <c r="O43" s="13"/>
      <c r="P43" s="13"/>
      <c r="Q43" s="13"/>
    </row>
    <row r="44">
      <c r="A44" s="8">
        <v>42.0</v>
      </c>
      <c r="B44" s="8" t="s">
        <v>71</v>
      </c>
      <c r="C44" s="8">
        <v>1.0</v>
      </c>
      <c r="D44" s="13"/>
      <c r="E44" s="13"/>
      <c r="G44" s="9"/>
      <c r="H44" s="8"/>
      <c r="I44" s="8"/>
      <c r="J44" s="13"/>
      <c r="K44" s="13"/>
      <c r="M44" s="8"/>
      <c r="N44" s="8"/>
      <c r="O44" s="13"/>
      <c r="P44" s="13"/>
      <c r="Q44" s="13"/>
    </row>
    <row r="45">
      <c r="A45" s="8">
        <v>43.0</v>
      </c>
      <c r="B45" s="8" t="s">
        <v>128</v>
      </c>
      <c r="C45" s="8">
        <v>1.0</v>
      </c>
      <c r="D45" s="13"/>
      <c r="E45" s="13"/>
      <c r="G45" s="9"/>
      <c r="H45" s="8"/>
      <c r="I45" s="8"/>
      <c r="J45" s="13"/>
      <c r="K45" s="13"/>
      <c r="M45" s="8"/>
      <c r="N45" s="8"/>
      <c r="O45" s="13"/>
      <c r="P45" s="13"/>
      <c r="Q45" s="13"/>
    </row>
    <row r="46">
      <c r="A46" s="14" t="s">
        <v>129</v>
      </c>
      <c r="C46" s="15">
        <f>average(C3:C45)</f>
        <v>1.465116279</v>
      </c>
      <c r="D46" s="15"/>
      <c r="E46" s="15">
        <f>AVERAGE(E3:E28)</f>
        <v>1.269230769</v>
      </c>
      <c r="G46" s="14" t="s">
        <v>129</v>
      </c>
      <c r="I46" s="15">
        <f>average(I3:I20)</f>
        <v>1.277777778</v>
      </c>
      <c r="J46" s="15"/>
      <c r="K46" s="15">
        <f>AVERAGE(K3:K35)</f>
        <v>2.303030303</v>
      </c>
      <c r="M46" s="14" t="s">
        <v>129</v>
      </c>
      <c r="O46" s="15">
        <f>average(O3:O26)</f>
        <v>1.416666667</v>
      </c>
      <c r="Q46" s="15">
        <f>average(Q3:Q31)</f>
        <v>1.448275862</v>
      </c>
    </row>
    <row r="48">
      <c r="A48" s="2" t="s">
        <v>130</v>
      </c>
    </row>
    <row r="49">
      <c r="A49" s="15">
        <f>AVERAGE(C46,E46,I46,K46,O46,Q46)</f>
        <v>1.530016276</v>
      </c>
    </row>
    <row r="51">
      <c r="A51" s="16" t="s">
        <v>0</v>
      </c>
      <c r="B51" s="16" t="s">
        <v>131</v>
      </c>
      <c r="C51" s="16" t="s">
        <v>132</v>
      </c>
      <c r="D51" s="16" t="s">
        <v>133</v>
      </c>
      <c r="E51" s="17" t="s">
        <v>134</v>
      </c>
      <c r="G51" s="7" t="s">
        <v>0</v>
      </c>
      <c r="H51" s="7" t="s">
        <v>131</v>
      </c>
      <c r="I51" s="7" t="s">
        <v>132</v>
      </c>
      <c r="J51" s="7" t="s">
        <v>133</v>
      </c>
      <c r="K51" s="7" t="s">
        <v>135</v>
      </c>
    </row>
    <row r="52">
      <c r="A52" s="6"/>
      <c r="B52" s="6"/>
      <c r="C52" s="6"/>
      <c r="D52" s="6"/>
      <c r="E52" s="6"/>
      <c r="G52" s="8">
        <v>1.0</v>
      </c>
      <c r="H52" s="8" t="s">
        <v>136</v>
      </c>
      <c r="I52" s="18">
        <v>45966.0</v>
      </c>
      <c r="J52" s="13">
        <f>43+26</f>
        <v>69</v>
      </c>
      <c r="K52" s="13">
        <f t="shared" ref="K52:K54" si="1">J52/2</f>
        <v>34.5</v>
      </c>
    </row>
    <row r="53">
      <c r="A53" s="8">
        <v>1.0</v>
      </c>
      <c r="B53" s="8" t="s">
        <v>136</v>
      </c>
      <c r="C53" s="18">
        <v>45966.0</v>
      </c>
      <c r="D53" s="13">
        <f>43+26</f>
        <v>69</v>
      </c>
      <c r="E53" s="8" t="s">
        <v>137</v>
      </c>
      <c r="G53" s="8">
        <v>2.0</v>
      </c>
      <c r="H53" s="8" t="s">
        <v>138</v>
      </c>
      <c r="I53" s="18">
        <v>45967.0</v>
      </c>
      <c r="J53" s="13">
        <f>33+18</f>
        <v>51</v>
      </c>
      <c r="K53" s="13">
        <f t="shared" si="1"/>
        <v>25.5</v>
      </c>
    </row>
    <row r="54">
      <c r="A54" s="8">
        <v>2.0</v>
      </c>
      <c r="B54" s="8" t="s">
        <v>138</v>
      </c>
      <c r="C54" s="18">
        <v>45967.0</v>
      </c>
      <c r="D54" s="13">
        <f>33+18</f>
        <v>51</v>
      </c>
      <c r="E54" s="8" t="s">
        <v>137</v>
      </c>
      <c r="G54" s="8">
        <v>3.0</v>
      </c>
      <c r="H54" s="8" t="s">
        <v>139</v>
      </c>
      <c r="I54" s="18">
        <v>45968.0</v>
      </c>
      <c r="J54" s="8">
        <v>53.0</v>
      </c>
      <c r="K54" s="13">
        <f t="shared" si="1"/>
        <v>26.5</v>
      </c>
    </row>
    <row r="55">
      <c r="A55" s="8">
        <v>3.0</v>
      </c>
      <c r="B55" s="8" t="s">
        <v>139</v>
      </c>
      <c r="C55" s="18">
        <v>45968.0</v>
      </c>
      <c r="D55" s="8">
        <f>24+29</f>
        <v>53</v>
      </c>
      <c r="E55" s="8" t="s">
        <v>137</v>
      </c>
      <c r="G55" s="19" t="s">
        <v>140</v>
      </c>
      <c r="H55" s="4"/>
      <c r="I55" s="4"/>
      <c r="J55" s="5"/>
      <c r="K55" s="13">
        <f>average(K52:K54)</f>
        <v>28.83333333</v>
      </c>
    </row>
    <row r="56">
      <c r="A56" s="19" t="s">
        <v>141</v>
      </c>
      <c r="B56" s="4"/>
      <c r="C56" s="5"/>
      <c r="D56" s="20">
        <f>SUM(D53:D55)</f>
        <v>173</v>
      </c>
      <c r="E56" s="5"/>
    </row>
    <row r="57">
      <c r="G57" s="21" t="s">
        <v>142</v>
      </c>
      <c r="H57" s="4"/>
      <c r="I57" s="4"/>
      <c r="J57" s="5"/>
      <c r="K57" s="13">
        <f>1/(A49/60)</f>
        <v>39.2152691</v>
      </c>
    </row>
    <row r="59">
      <c r="B59" s="22" t="s">
        <v>143</v>
      </c>
      <c r="C59" s="23">
        <f>29/(39-29)</f>
        <v>2.9</v>
      </c>
      <c r="G59" s="22" t="s">
        <v>144</v>
      </c>
    </row>
    <row r="60">
      <c r="B60" s="22" t="s">
        <v>145</v>
      </c>
      <c r="C60" s="23">
        <f>1/(39-29)</f>
        <v>0.1</v>
      </c>
    </row>
    <row r="61">
      <c r="B61" s="22" t="s">
        <v>146</v>
      </c>
      <c r="C61" s="23">
        <f>29^2/(39*(39-29))</f>
        <v>2.156410256</v>
      </c>
    </row>
    <row r="62">
      <c r="B62" s="22" t="s">
        <v>147</v>
      </c>
      <c r="C62" s="23">
        <f>29/(39*(39-29))</f>
        <v>0.07435897436</v>
      </c>
    </row>
    <row r="63">
      <c r="B63" s="22" t="s">
        <v>148</v>
      </c>
      <c r="C63" s="23">
        <f>29/39</f>
        <v>0.7435897436</v>
      </c>
    </row>
    <row r="64">
      <c r="B64" s="22" t="s">
        <v>149</v>
      </c>
      <c r="C64" s="23">
        <f>1-29/39</f>
        <v>0.2564102564</v>
      </c>
    </row>
  </sheetData>
  <mergeCells count="27">
    <mergeCell ref="G46:H47"/>
    <mergeCell ref="I46:I47"/>
    <mergeCell ref="G55:J55"/>
    <mergeCell ref="G57:J57"/>
    <mergeCell ref="G59:K59"/>
    <mergeCell ref="K46:K47"/>
    <mergeCell ref="M46:N47"/>
    <mergeCell ref="O46:O47"/>
    <mergeCell ref="Q46:Q47"/>
    <mergeCell ref="A48:Q48"/>
    <mergeCell ref="A49:Q49"/>
    <mergeCell ref="A1:A2"/>
    <mergeCell ref="B1:E1"/>
    <mergeCell ref="G1:G2"/>
    <mergeCell ref="H1:K1"/>
    <mergeCell ref="M1:M2"/>
    <mergeCell ref="N1:Q1"/>
    <mergeCell ref="A46:B47"/>
    <mergeCell ref="A56:C56"/>
    <mergeCell ref="D56:E56"/>
    <mergeCell ref="C46:C47"/>
    <mergeCell ref="E46:E47"/>
    <mergeCell ref="A51:A52"/>
    <mergeCell ref="B51:B52"/>
    <mergeCell ref="C51:C52"/>
    <mergeCell ref="D51:D52"/>
    <mergeCell ref="E51:E52"/>
  </mergeCells>
  <drawing r:id="rId1"/>
</worksheet>
</file>